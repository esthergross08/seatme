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op 10 Comparison" sheetId="2" state="visible" r:id="rId4"/>
  </sheets>
  <definedNames>
    <definedName function="false" hidden="true" localSheetId="1" name="_xlnm._FilterDatabase" vbProcedure="false">'Top 10 Comparison'!$A$1:$K$11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<sst xmlns="http://schemas.openxmlformats.org/spreadsheetml/2006/main" count="84" uniqueCount="79">
  <si>
    <t xml:space="preserve">Entity Setup Options — FR / UK / US Tax Residency</t>
  </si>
  <si>
    <t xml:space="preserve">Updated 2026-08-19 · research-based comparison, not legal or tax advice · confirmed: green card holder</t>
  </si>
  <si>
    <t xml:space="preserve">THIS IS NOT LEGAL OR TAX ADVICE. I'm not a lawyer or licensed tax advisor, and cross-border structuring across three tax systems at once is genuinely one of the most fact-specific areas of personal tax law. Treat this workbook as a starting map for a conversation with a real cross-border tax advisor / attorney (ideally one with specific US-UK-France experience) before forming anything.</t>
  </si>
  <si>
    <t xml:space="preserve">UPDATED: you confirmed you hold a US green card — here's what that resolves.</t>
  </si>
  <si>
    <t xml:space="preserve">A green card holder is a “US person” for tax purposes exactly like a citizen: worldwide income taxation regardless of where you live, and full exposure to the Controlled Foreign Corporation (CFC) regime. This is now a CONFIRMED cost, not a maybe, for any option where you'd own a majority of a foreign (non-US) corporation — a UK Ltd, a France SASU/EURL, or an Ireland Ltd. Owning 10%+ of such a company requires annual Form 5471 (a genuinely complex filing — expect real accountant fees just to prepare it, separate from your actual tax bill), and if it's majority-owned by you it's a CFC, meaning its retained/undistributed profits are taxed currently in the US via “NCTI” (the renamed/reworked GILTI regime, effective for tax years starting after 2025-12-31 — effective rate now ~12.6%, with foreign tax credits capped at a 10% haircut under the 2025 One Big Beautiful Bill Act changes). In plain terms: local corporate tax (UK 19–25%, France 15–25%) PLUS a further US layer on top, even before you take any money out personally. This has pushed the foreign-corporation options down and the domestic-US and non-corporate options up compared to the first draft of this table — see the revised ratings below.</t>
  </si>
  <si>
    <t xml:space="preserve">ONE MORE THING WORTH FLAGGING: forming the entity somewhere doesn't decide where it's taxed.</t>
  </si>
  <si>
    <t xml:space="preserve">If you're physically running SeatMe day-to-day from the UK or France, tax authorities there can still assert the business has a taxable presence (“permanent establishment”) wherever you actually work from — regardless of which country the entity is legally formed in. A Delaware entity doesn't automatically keep HMRC or the French fisc out of the picture if you're the one doing the work from London or Paris. This is exactly the kind of thing a cross-border advisor sorts out based on where you actually live/work day to day, not something a generic comparison table can resolve.</t>
  </si>
  <si>
    <t xml:space="preserve">TWO 2025–2026 DEVELOPMENTS THAT STILL MATTER FOR THE PLAIN-US-LLC OPTIONS:</t>
  </si>
  <si>
    <t xml:space="preserve">1) UK: HMRC has historically treated most US LLCs as “opaque” (taxed as a company) while the US treats a single-member LLC as transparent by default — a mismatch that can double-tax a UK-resident member. HMRC opened a formal consultation on this on 2026-06-10 (closed 2026-07-31); unresolved as of this writing, so the risk is live but could plausibly improve.</t>
  </si>
  <si>
    <t xml:space="preserve">2) France: a Conseil d'État ruling (Carmejane, 2025-11-12) pushed French authorities toward treating US LLCs as opaque too, creating the same kind of mismatch and double-tax risk on the France side.</t>
  </si>
  <si>
    <t xml:space="preserve">HOW THE RANKING WORKS:</t>
  </si>
  <si>
    <t xml:space="preserve">Each option gets two independent 1–5 ratings: Speed (how fast you're operational) and Tax structural advantage (now reflecting your confirmed CFC/NCTI exposure on foreign corporations, the UK/France LLC mismatch risk, and nominal tax competitiveness — not a prediction of your exact tax bill, which still depends on income level and distribution plans). “Concurrence” = MIN(speed, tax) — it rewards options strong on both axes, per your original request. Ties are broken by the average of the two scores, then by lower cost/faster formation.</t>
  </si>
  <si>
    <t xml:space="preserve">SUGGESTED NEXT STEP: with the green card confirmed, the real remaining question for a cross-border advisor is where you're actually resident/working day to day, and how much profit you plan to retain vs. distribute — that will decide between the top few rows fast.</t>
  </si>
  <si>
    <t xml:space="preserve">Rank</t>
  </si>
  <si>
    <t xml:space="preserve">Option</t>
  </si>
  <si>
    <t xml:space="preserve">Formation jurisdiction</t>
  </si>
  <si>
    <t xml:space="preserve">Est. formation cost</t>
  </si>
  <si>
    <t xml:space="preserve">Formation speed</t>
  </si>
  <si>
    <t xml:space="preserve">Speed rating (1-5)</t>
  </si>
  <si>
    <t xml:space="preserve">Tax structural
advantage (1-5)</t>
  </si>
  <si>
    <t xml:space="preserve">Concurrence
(MIN)</t>
  </si>
  <si>
    <t xml:space="preserve">Avg score</t>
  </si>
  <si>
    <t xml:space="preserve">Key tax considerations / risks</t>
  </si>
  <si>
    <t xml:space="preserve">Source</t>
  </si>
  <si>
    <t xml:space="preserve">Delaware C-Corp (formed natively as Inc.)</t>
  </si>
  <si>
    <t xml:space="preserve">Delaware, US</t>
  </si>
  <si>
    <t xml:space="preserve">~$90–110 filing + agent fee</t>
  </si>
  <si>
    <t xml:space="preserve">~1–3 business days</t>
  </si>
  <si>
    <t xml:space="preserve">Domestic US corporation — NOT a foreign corporation, so your CFC/Form 5471/NCTI exposure does not apply here regardless of your green card. Consistently “opaque” everywhere (no UK/France LLC-mismatch risk either), and the most investor-familiar US structure if you ever raise money. Downside is ordinary US double taxation: 21% federal corporate tax, then tax again on dividends. Does not by itself resolve a UK/France permanent-establishment question if you're working from either country day to day — confirm that separately.</t>
  </si>
  <si>
    <t xml:space="preserve">optimizetax.io Delaware C-Corp vs LLC 2026; erb-us.com foreign founder entity guide</t>
  </si>
  <si>
    <t xml:space="preserve">Wyoming or Delaware LLC + Form 8832 C-corp election</t>
  </si>
  <si>
    <t xml:space="preserve">Wyoming or Delaware, US</t>
  </si>
  <si>
    <t xml:space="preserve">LLC cost + $0 IRS filing fee for Form 8832</t>
  </si>
  <si>
    <t xml:space="preserve">~1–3 business days (election is self-certifying)</t>
  </si>
  <si>
    <t xml:space="preserve">Same CFC-free, consistently-opaque profile as a native C-Corp, while keeping LLC operating-agreement flexibility. Caution: electing OUT of C-corp status later, or converting an existing CFC-classified entity to disregarded, can trigger a deemed-liquidation taxable event — sequence this correctly with an advisor from day one.</t>
  </si>
  <si>
    <t xml:space="preserve">taxesforexpats.com Form 8832 guide; greenbacktaxservices.com NCTI/GILTI 2026 guide</t>
  </si>
  <si>
    <t xml:space="preserve">France micro-entreprise (auto-entrepreneur)</t>
  </si>
  <si>
    <t xml:space="preserve">France</t>
  </si>
  <si>
    <t xml:space="preserve">~€0–50 (no separate entity fee)</t>
  </si>
  <si>
    <t xml:space="preserve">Same day (online guichet unique)</t>
  </si>
  <si>
    <t xml:space="preserve">Not a corporation at all, so genuinely no CFC/Form 5471/NCTI exposure even with the green card confirmed — the simplest US reporting of any option here (foreign self-employment income on your 1040, with foreign tax credit/exclusion planning, but no corporate-level US filing). Revenue capped at €83,600/yr for services (2026 threshold; two years over ends the regime), weak scalability/credibility for a growing SaaS long-term.</t>
  </si>
  <si>
    <t xml:space="preserve">legifiscal.fr 2026 seuils; hayot-expertise.fr micro-entreprise guide 2026</t>
  </si>
  <si>
    <t xml:space="preserve">New Mexico LLC (default disregarded/pass-through)</t>
  </si>
  <si>
    <t xml:space="preserve">New Mexico, US</t>
  </si>
  <si>
    <t xml:space="preserve">$50 filing, $0/yr (no annual report)</t>
  </si>
  <si>
    <t xml:space="preserve">~1–2 business days</t>
  </si>
  <si>
    <t xml:space="preserve">No CFC issue (a disregarded LLC isn't a foreign corporation), so your green card doesn't add a new cost here. But it sits directly in the current UK/France mismatch problem: transparent for US tax, opaque by default for HMRC, and now more likely opaque in France post-Carmejane — real double-tax/reclassification exposure that's unresolved as of this writing.</t>
  </si>
  <si>
    <t xml:space="preserve">usllcglobal.com cheapest state LLC 2026</t>
  </si>
  <si>
    <t xml:space="preserve">Wyoming LLC (default disregarded/pass-through)</t>
  </si>
  <si>
    <t xml:space="preserve">Wyoming, US</t>
  </si>
  <si>
    <t xml:space="preserve">$100 filing + $60/yr annual report</t>
  </si>
  <si>
    <t xml:space="preserve">Same UK/France mismatch exposure as the New Mexico LLC above, unaffected by the green card either way. Slightly better banking/payment-processor reputation than New Mexico.</t>
  </si>
  <si>
    <t xml:space="preserve">fintaxes.us Delaware vs Wyoming 2026; usllcglobal.com state comparison 2026</t>
  </si>
  <si>
    <t xml:space="preserve">Delaware LLC (default disregarded/pass-through)</t>
  </si>
  <si>
    <t xml:space="preserve">~$90–110 filing + $300/yr franchise tax</t>
  </si>
  <si>
    <t xml:space="preserve">~1–3 business days (same-day rush available)</t>
  </si>
  <si>
    <t xml:space="preserve">The “default” startup answer — best legal reputation, most familiar to US investors/payment processors. Same UK/France mismatch risk as the other plain LLCs, plus the highest ongoing cost of the three ($300/yr flat, regardless of profit).</t>
  </si>
  <si>
    <t xml:space="preserve">fintaxes.us Delaware vs Wyoming 2026</t>
  </si>
  <si>
    <t xml:space="preserve">UK Ltd (Limited company)</t>
  </si>
  <si>
    <t xml:space="preserve">United Kingdom</t>
  </si>
  <si>
    <t xml:space="preserve">£100 (£156 same-day rush)</t>
  </si>
  <si>
    <t xml:space="preserve">~1 business day (24h online)</t>
  </si>
  <si>
    <t xml:space="preserve">Now a CONFIRMED CFC given the green card, if you'd hold a majority stake: annual Form 5471 plus current NCTI taxation on retained profits (~12.6% effective, on top of UK's 19–25% corporation tax). Still consistently “opaque” everywhere (no LLC-style mismatch risk), and likely closest to your actual base of operations if UK is a real home — but that CFC layer is a real, ongoing cost that wasn't certain in the first draft of this table and now is.</t>
  </si>
  <si>
    <t xml:space="preserve">gov.uk Companies House fees 2026; oandgaccounting.com green card CFC guide; HMRC 2026-06-10 consultation</t>
  </si>
  <si>
    <t xml:space="preserve">France SASU (Société par Actions Simplifiée Unipersonnelle)</t>
  </si>
  <si>
    <t xml:space="preserve">~€142 INPI fee, ~€200–260 all-in</t>
  </si>
  <si>
    <t xml:space="preserve">~5–15 business days (longer if paperwork is incomplete)</t>
  </si>
  <si>
    <t xml:space="preserve">Same confirmed-CFC exposure as UK Ltd now that the green card is confirmed — Form 5471 plus NCTI on top of France's 25%/15% corporate tax. Real French-market credibility and strong liability protection if you do want a genuine French entity, but the US-side compliance layer is now certain, not conditional.</t>
  </si>
  <si>
    <t xml:space="preserve">hayot-expertise.fr SASU vs EURL 2026; oandgaccounting.com green card CFC guide</t>
  </si>
  <si>
    <t xml:space="preserve">France EURL (Entreprise Unipersonnelle à Responsabilité Limitée)</t>
  </si>
  <si>
    <t xml:space="preserve">~€124 INPI fee, ~€200–260 all-in</t>
  </si>
  <si>
    <t xml:space="preserve">Same confirmed-CFC/5471/NCTI profile as SASU. Manager taxed under the TNS (self-employed) social regime instead of “assimilé salarié” — generally lower social charges if you pay yourself a salary, at the cost of weaker social protection (no unemployment insurance).</t>
  </si>
  <si>
    <t xml:space="preserve">hayot-expertise.fr SASU vs EURL 2026</t>
  </si>
  <si>
    <t xml:space="preserve">Ireland Ltd</t>
  </si>
  <si>
    <t xml:space="preserve">Ireland</t>
  </si>
  <si>
    <t xml:space="preserve">~€50–100 CRO fee, ~€200–500 all-in with an agent</t>
  </si>
  <si>
    <t xml:space="preserve">~5–10 business days</t>
  </si>
  <si>
    <t xml:space="preserve">Same confirmed CFC/5471/NCTI exposure as UK Ltd/SASU, now stacked on top of a fourth country's compliance requirements with no personal nexus for you — you don't live there, so you'd still need UK/France filings regardless. Included because it comes up often in this research, but ranks lowest here given the green card confirmation adds cost without adding any offsetting benefit for your specific situation.</t>
  </si>
  <si>
    <t xml:space="preserve">general EU corporate tax rate references, 2026; oandgaccounting.com green card CFC guide</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</si>
</sst>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i val="true"/>
      <sz val="10"/>
      <color rgb="FF6B7280"/>
      <name val="Arial"/>
      <family val="0"/>
      <charset val="1"/>
    </font>
    <font>
      <b val="true"/>
      <sz val="10"/>
      <color rgb="FF8C3B3B"/>
      <name val="Arial"/>
      <family val="0"/>
      <charset val="1"/>
    </font>
    <font>
      <b val="true"/>
      <sz val="10"/>
      <color rgb="FF111111"/>
      <name val="Arial"/>
      <family val="0"/>
      <charset val="1"/>
    </font>
    <font>
      <sz val="10"/>
      <color rgb="FF111111"/>
      <name val="Arial"/>
      <family val="0"/>
      <charset val="1"/>
    </font>
    <font>
      <b val="true"/>
      <sz val="11"/>
      <color rgb="FFFFFFFF"/>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5EFE0"/>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937"/>
          <bgColor rgb="FF000000"/>
        </patternFill>
      </fill>
    </dxf>
    <dxf>
      <fill>
        <patternFill patternType="solid">
          <fgColor rgb="FFF5EFE0"/>
          <bgColor rgb="FF000000"/>
        </patternFill>
      </fill>
    </dxf>
    <dxf>
      <fill>
        <patternFill patternType="solid">
          <bgColor rgb="FF000000"/>
        </patternFill>
      </fill>
    </dxf>
    <dxf>
      <fill>
        <patternFill patternType="solid">
          <fgColor rgb="FF111111"/>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C3B3B"/>
      <rgbColor rgb="FFF5EFE0"/>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111"/>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5"/>
  </cols>
  <sheetData>
    <row r="2" customFormat="false" ht="19.7" hidden="false" customHeight="false" outlineLevel="0" collapsed="false">
      <c r="B2" s="1" t="s">
        <v>0</v>
      </c>
    </row>
    <row r="3" customFormat="false" ht="15" hidden="false" customHeight="false" outlineLevel="0" collapsed="false">
      <c r="B3" s="2" t="s">
        <v>1</v>
      </c>
    </row>
    <row r="5" customFormat="false" ht="46.25" hidden="false" customHeight="false" outlineLevel="0" collapsed="false">
      <c r="B5" s="3" t="s">
        <v>2</v>
      </c>
    </row>
    <row r="7" customFormat="false" ht="15" hidden="false" customHeight="false" outlineLevel="0" collapsed="false">
      <c r="B7" s="4" t="s">
        <v>3</v>
      </c>
    </row>
    <row r="8" customFormat="false" ht="113.4" hidden="false" customHeight="false" outlineLevel="0" collapsed="false">
      <c r="B8" s="5" t="s">
        <v>4</v>
      </c>
    </row>
    <row r="10" customFormat="false" ht="15" hidden="false" customHeight="false" outlineLevel="0" collapsed="false">
      <c r="B10" s="4" t="s">
        <v>5</v>
      </c>
    </row>
    <row r="11" customFormat="false" ht="57.45" hidden="false" customHeight="false" outlineLevel="0" collapsed="false">
      <c r="B11" s="5" t="s">
        <v>6</v>
      </c>
    </row>
    <row r="13" customFormat="false" ht="15" hidden="false" customHeight="false" outlineLevel="0" collapsed="false">
      <c r="B13" s="4" t="s">
        <v>7</v>
      </c>
    </row>
    <row r="14" customFormat="false" ht="35.05" hidden="false" customHeight="false" outlineLevel="0" collapsed="false">
      <c r="B14" s="5" t="s">
        <v>8</v>
      </c>
    </row>
    <row r="15" customFormat="false" ht="23.85" hidden="false" customHeight="false" outlineLevel="0" collapsed="false">
      <c r="B15" s="5" t="s">
        <v>9</v>
      </c>
    </row>
    <row r="17" customFormat="false" ht="15" hidden="false" customHeight="false" outlineLevel="0" collapsed="false">
      <c r="B17" s="4" t="s">
        <v>10</v>
      </c>
    </row>
    <row r="18" customFormat="false" ht="57.45" hidden="false" customHeight="false" outlineLevel="0" collapsed="false">
      <c r="B18" s="5" t="s">
        <v>11</v>
      </c>
    </row>
    <row r="20" customFormat="false" ht="35.05" hidden="false" customHeight="false" outlineLevel="0" collapsed="false">
      <c r="B20" s="4"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20"/>
    <col collapsed="false" customWidth="true" hidden="false" outlineLevel="0" max="5" min="5" style="0" width="16"/>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9"/>
    <col collapsed="false" customWidth="true" hidden="false" outlineLevel="0" max="10" min="10" style="0" width="64"/>
    <col collapsed="false" customWidth="true" hidden="false" outlineLevel="0" max="11" min="11" style="0" width="40"/>
  </cols>
  <sheetData>
    <row r="1" customFormat="false" ht="30" hidden="false" customHeight="true" outlineLevel="0" collapsed="false">
      <c r="A1" s="6" t="s">
        <v>13</v>
      </c>
      <c r="B1" s="6" t="s">
        <v>14</v>
      </c>
      <c r="C1" s="6" t="s">
        <v>15</v>
      </c>
      <c r="D1" s="6" t="s">
        <v>16</v>
      </c>
      <c r="E1" s="6" t="s">
        <v>17</v>
      </c>
      <c r="F1" s="6" t="s">
        <v>18</v>
      </c>
      <c r="G1" s="6" t="s">
        <v>19</v>
      </c>
      <c r="H1" s="6" t="s">
        <v>20</v>
      </c>
      <c r="I1" s="6" t="s">
        <v>21</v>
      </c>
      <c r="J1" s="6" t="s">
        <v>22</v>
      </c>
      <c r="K1" s="6" t="s">
        <v>23</v>
      </c>
    </row>
    <row r="2" customFormat="false" ht="99.75" hidden="false" customHeight="true" outlineLevel="0" collapsed="false">
      <c r="A2" s="7" t="n">
        <v>1</v>
      </c>
      <c r="B2" s="8" t="s">
        <v>24</v>
      </c>
      <c r="C2" s="9" t="s">
        <v>25</v>
      </c>
      <c r="D2" s="9" t="s">
        <v>26</v>
      </c>
      <c r="E2" s="9" t="s">
        <v>27</v>
      </c>
      <c r="F2" s="7" t="n">
        <v>4</v>
      </c>
      <c r="G2" s="7" t="n">
        <v>4</v>
      </c>
      <c r="H2" s="7" t="n">
        <f aca="false">MIN(F2,G2)</f>
        <v>4</v>
      </c>
      <c r="I2" s="10" t="n">
        <f aca="false">AVERAGE(F2,G2)</f>
        <v>4</v>
      </c>
      <c r="J2" s="9" t="s">
        <v>28</v>
      </c>
      <c r="K2" s="9" t="s">
        <v>29</v>
      </c>
    </row>
    <row r="3" customFormat="false" ht="99.75" hidden="false" customHeight="true" outlineLevel="0" collapsed="false">
      <c r="A3" s="11" t="n">
        <v>2</v>
      </c>
      <c r="B3" s="12" t="s">
        <v>30</v>
      </c>
      <c r="C3" s="13" t="s">
        <v>31</v>
      </c>
      <c r="D3" s="13" t="s">
        <v>32</v>
      </c>
      <c r="E3" s="13" t="s">
        <v>33</v>
      </c>
      <c r="F3" s="11" t="n">
        <v>4</v>
      </c>
      <c r="G3" s="11" t="n">
        <v>4</v>
      </c>
      <c r="H3" s="11" t="n">
        <f aca="false">MIN(F3,G3)</f>
        <v>4</v>
      </c>
      <c r="I3" s="14" t="n">
        <f aca="false">AVERAGE(F3,G3)</f>
        <v>4</v>
      </c>
      <c r="J3" s="13" t="s">
        <v>34</v>
      </c>
      <c r="K3" s="13" t="s">
        <v>35</v>
      </c>
    </row>
    <row r="4" customFormat="false" ht="99.75" hidden="false" customHeight="true" outlineLevel="0" collapsed="false">
      <c r="A4" s="11" t="n">
        <v>3</v>
      </c>
      <c r="B4" s="12" t="s">
        <v>36</v>
      </c>
      <c r="C4" s="13" t="s">
        <v>37</v>
      </c>
      <c r="D4" s="13" t="s">
        <v>38</v>
      </c>
      <c r="E4" s="13" t="s">
        <v>39</v>
      </c>
      <c r="F4" s="11" t="n">
        <v>5</v>
      </c>
      <c r="G4" s="11" t="n">
        <v>3</v>
      </c>
      <c r="H4" s="11" t="n">
        <f aca="false">MIN(F4,G4)</f>
        <v>3</v>
      </c>
      <c r="I4" s="14" t="n">
        <f aca="false">AVERAGE(F4,G4)</f>
        <v>4</v>
      </c>
      <c r="J4" s="13" t="s">
        <v>40</v>
      </c>
      <c r="K4" s="13" t="s">
        <v>41</v>
      </c>
    </row>
    <row r="5" customFormat="false" ht="99.75" hidden="false" customHeight="true" outlineLevel="0" collapsed="false">
      <c r="A5" s="11" t="n">
        <v>4</v>
      </c>
      <c r="B5" s="12" t="s">
        <v>42</v>
      </c>
      <c r="C5" s="13" t="s">
        <v>43</v>
      </c>
      <c r="D5" s="13" t="s">
        <v>44</v>
      </c>
      <c r="E5" s="13" t="s">
        <v>45</v>
      </c>
      <c r="F5" s="11" t="n">
        <v>5</v>
      </c>
      <c r="G5" s="11" t="n">
        <v>2</v>
      </c>
      <c r="H5" s="11" t="n">
        <f aca="false">MIN(F5,G5)</f>
        <v>2</v>
      </c>
      <c r="I5" s="14" t="n">
        <f aca="false">AVERAGE(F5,G5)</f>
        <v>3.5</v>
      </c>
      <c r="J5" s="13" t="s">
        <v>46</v>
      </c>
      <c r="K5" s="13" t="s">
        <v>47</v>
      </c>
    </row>
    <row r="6" customFormat="false" ht="99.75" hidden="false" customHeight="true" outlineLevel="0" collapsed="false">
      <c r="A6" s="11" t="n">
        <v>5</v>
      </c>
      <c r="B6" s="12" t="s">
        <v>48</v>
      </c>
      <c r="C6" s="13" t="s">
        <v>49</v>
      </c>
      <c r="D6" s="13" t="s">
        <v>50</v>
      </c>
      <c r="E6" s="13" t="s">
        <v>45</v>
      </c>
      <c r="F6" s="11" t="n">
        <v>5</v>
      </c>
      <c r="G6" s="11" t="n">
        <v>2</v>
      </c>
      <c r="H6" s="11" t="n">
        <f aca="false">MIN(F6,G6)</f>
        <v>2</v>
      </c>
      <c r="I6" s="14" t="n">
        <f aca="false">AVERAGE(F6,G6)</f>
        <v>3.5</v>
      </c>
      <c r="J6" s="13" t="s">
        <v>51</v>
      </c>
      <c r="K6" s="13" t="s">
        <v>52</v>
      </c>
    </row>
    <row r="7" customFormat="false" ht="99.75" hidden="false" customHeight="true" outlineLevel="0" collapsed="false">
      <c r="A7" s="11" t="n">
        <v>6</v>
      </c>
      <c r="B7" s="12" t="s">
        <v>53</v>
      </c>
      <c r="C7" s="13" t="s">
        <v>25</v>
      </c>
      <c r="D7" s="13" t="s">
        <v>54</v>
      </c>
      <c r="E7" s="13" t="s">
        <v>55</v>
      </c>
      <c r="F7" s="11" t="n">
        <v>5</v>
      </c>
      <c r="G7" s="11" t="n">
        <v>2</v>
      </c>
      <c r="H7" s="11" t="n">
        <f aca="false">MIN(F7,G7)</f>
        <v>2</v>
      </c>
      <c r="I7" s="14" t="n">
        <f aca="false">AVERAGE(F7,G7)</f>
        <v>3.5</v>
      </c>
      <c r="J7" s="13" t="s">
        <v>56</v>
      </c>
      <c r="K7" s="13" t="s">
        <v>57</v>
      </c>
    </row>
    <row r="8" customFormat="false" ht="99.75" hidden="false" customHeight="true" outlineLevel="0" collapsed="false">
      <c r="A8" s="11" t="n">
        <v>7</v>
      </c>
      <c r="B8" s="12" t="s">
        <v>58</v>
      </c>
      <c r="C8" s="13" t="s">
        <v>59</v>
      </c>
      <c r="D8" s="13" t="s">
        <v>60</v>
      </c>
      <c r="E8" s="13" t="s">
        <v>61</v>
      </c>
      <c r="F8" s="11" t="n">
        <v>5</v>
      </c>
      <c r="G8" s="11" t="n">
        <v>2</v>
      </c>
      <c r="H8" s="11" t="n">
        <f aca="false">MIN(F8,G8)</f>
        <v>2</v>
      </c>
      <c r="I8" s="14" t="n">
        <f aca="false">AVERAGE(F8,G8)</f>
        <v>3.5</v>
      </c>
      <c r="J8" s="13" t="s">
        <v>62</v>
      </c>
      <c r="K8" s="13" t="s">
        <v>63</v>
      </c>
    </row>
    <row r="9" customFormat="false" ht="99.75" hidden="false" customHeight="true" outlineLevel="0" collapsed="false">
      <c r="A9" s="11" t="n">
        <v>8</v>
      </c>
      <c r="B9" s="12" t="s">
        <v>64</v>
      </c>
      <c r="C9" s="13" t="s">
        <v>37</v>
      </c>
      <c r="D9" s="13" t="s">
        <v>65</v>
      </c>
      <c r="E9" s="13" t="s">
        <v>66</v>
      </c>
      <c r="F9" s="11" t="n">
        <v>2</v>
      </c>
      <c r="G9" s="11" t="n">
        <v>2</v>
      </c>
      <c r="H9" s="11" t="n">
        <f aca="false">MIN(F9,G9)</f>
        <v>2</v>
      </c>
      <c r="I9" s="14" t="n">
        <f aca="false">AVERAGE(F9,G9)</f>
        <v>2</v>
      </c>
      <c r="J9" s="13" t="s">
        <v>67</v>
      </c>
      <c r="K9" s="13" t="s">
        <v>68</v>
      </c>
    </row>
    <row r="10" customFormat="false" ht="99.75" hidden="false" customHeight="true" outlineLevel="0" collapsed="false">
      <c r="A10" s="11" t="n">
        <v>9</v>
      </c>
      <c r="B10" s="12" t="s">
        <v>69</v>
      </c>
      <c r="C10" s="13" t="s">
        <v>37</v>
      </c>
      <c r="D10" s="13" t="s">
        <v>70</v>
      </c>
      <c r="E10" s="13" t="s">
        <v>66</v>
      </c>
      <c r="F10" s="11" t="n">
        <v>2</v>
      </c>
      <c r="G10" s="11" t="n">
        <v>2</v>
      </c>
      <c r="H10" s="11" t="n">
        <f aca="false">MIN(F10,G10)</f>
        <v>2</v>
      </c>
      <c r="I10" s="14" t="n">
        <f aca="false">AVERAGE(F10,G10)</f>
        <v>2</v>
      </c>
      <c r="J10" s="13" t="s">
        <v>71</v>
      </c>
      <c r="K10" s="13" t="s">
        <v>72</v>
      </c>
    </row>
    <row r="11" customFormat="false" ht="99.75" hidden="false" customHeight="true" outlineLevel="0" collapsed="false">
      <c r="A11" s="11" t="n">
        <v>10</v>
      </c>
      <c r="B11" s="12" t="s">
        <v>73</v>
      </c>
      <c r="C11" s="13" t="s">
        <v>74</v>
      </c>
      <c r="D11" s="13" t="s">
        <v>75</v>
      </c>
      <c r="E11" s="13" t="s">
        <v>76</v>
      </c>
      <c r="F11" s="11" t="n">
        <v>3</v>
      </c>
      <c r="G11" s="11" t="n">
        <v>1</v>
      </c>
      <c r="H11" s="11" t="n">
        <f aca="false">MIN(F11,G11)</f>
        <v>1</v>
      </c>
      <c r="I11" s="14" t="n">
        <f aca="false">AVERAGE(F11,G11)</f>
        <v>2</v>
      </c>
      <c r="J11" s="13" t="s">
        <v>77</v>
      </c>
      <c r="K11" s="13" t="s">
        <v>78</v>
      </c>
    </row>
  </sheetData>
  <autoFilter ref="A1:K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2026-08-19T09:32:50Z</dcterms:created>
  <dc:creator>openpyxl</dc:creator>
  <dc:description/>
  <dc:language>en-US</dc:language>
  <cp:lastModifiedBy/>
  <dcterms:modified xsi:type="dcterms:W3CDTF">2026-08-19T09:46:03Z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